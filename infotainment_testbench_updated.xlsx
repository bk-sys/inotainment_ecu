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F91E93A-3DDB-4477-943B-9E26B7E571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  <sheet name="Summary" sheetId="2" r:id="rId2"/>
    <sheet name="ECU Reference" sheetId="3" r:id="rId3"/>
  </sheets>
  <calcPr calcId="191029"/>
  <fileRecoveryPr repairLoad="1"/>
</workbook>
</file>

<file path=xl/calcChain.xml><?xml version="1.0" encoding="utf-8"?>
<calcChain xmlns="http://schemas.openxmlformats.org/spreadsheetml/2006/main">
  <c r="F13" i="2" l="1"/>
  <c r="E13" i="2"/>
  <c r="D13" i="2"/>
  <c r="C13" i="2"/>
  <c r="B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<sst xmlns="http://schemas.openxmlformats.org/spreadsheetml/2006/main" count="432" uniqueCount="307">
  <si>
    <t>Rich Panel — Infotainment ECU Test Bench</t>
  </si>
  <si>
    <t>TC ID</t>
  </si>
  <si>
    <t>Module</t>
  </si>
  <si>
    <t>Priority</t>
  </si>
  <si>
    <t>Description</t>
  </si>
  <si>
    <t>Preconditions</t>
  </si>
  <si>
    <t>Test Steps</t>
  </si>
  <si>
    <t>Test Data</t>
  </si>
  <si>
    <t>Expected Result</t>
  </si>
  <si>
    <t>Actual Result</t>
  </si>
  <si>
    <t>Status</t>
  </si>
  <si>
    <t>SP001</t>
  </si>
  <si>
    <t>Speedometer</t>
  </si>
  <si>
    <t>High</t>
  </si>
  <si>
    <t>Verify speedometer needle rests at 0 km/h when vehicle is stationary</t>
  </si>
  <si>
    <t>Vehicle stationary. Power ON. CAN bus active. Engine ECU (0x103) transmitting.</t>
  </si>
  <si>
    <t>Step 1: Power ON infotainment display.
Step 2: Ensure vehicle is not moving.
Step 3: Observe speedometer needle.
Step 4: Confirm needle points exactly at 0.</t>
  </si>
  <si>
    <t>Vehicle speed: 0 km/h
Engine ECU CAN ID: 0x103</t>
  </si>
  <si>
    <t>Speedometer needle rests precisely at 0 km/h. No deflection observed.</t>
  </si>
  <si>
    <t>Pending</t>
  </si>
  <si>
    <t>SP002</t>
  </si>
  <si>
    <t>Verify speedometer displays correct speed at 60 km/h</t>
  </si>
  <si>
    <t>Vehicle in motion. Engine ECU transmitting speed data on CAN bus.</t>
  </si>
  <si>
    <t>Step 1: Accelerate vehicle to 60 km/h using GPS reference.
Step 2: Observe speedometer needle.
Step 3: Compare reading with GPS reference speed.</t>
  </si>
  <si>
    <t>Vehicle speed: 60 km/h
Reference: GPS verified</t>
  </si>
  <si>
    <t>Speedometer needle aligns at 60 km/h mark. Reading within ±2 km/h tolerance.</t>
  </si>
  <si>
    <t>SP003</t>
  </si>
  <si>
    <t>Verify speedometer displays correct speed at 120 km/h</t>
  </si>
  <si>
    <t>Vehicle in motion. Engine ECU transmitting speed data.</t>
  </si>
  <si>
    <t>Step 1: Accelerate to 120 km/h using GPS reference.
Step 2: Observe speedometer needle.
Step 3: Compare reading with GPS reference.</t>
  </si>
  <si>
    <t>Vehicle speed: 120 km/h
Reference: GPS verified</t>
  </si>
  <si>
    <t>Speedometer needle aligns at 120 km/h mark. Reading within ±2 km/h tolerance.</t>
  </si>
  <si>
    <t>SP004</t>
  </si>
  <si>
    <t>Medium</t>
  </si>
  <si>
    <t>Verify speedometer needle does not exceed 250 km/h scale maximum</t>
  </si>
  <si>
    <t>Simulated speed signal injected via CAN bus.</t>
  </si>
  <si>
    <t>Step 1: Inject simulated speed signal above 250 km/h via CAN bus.
Step 2: Observe speedometer needle.
Step 3: Confirm needle stops at or before 250 mark.</t>
  </si>
  <si>
    <t>Simulated speed: &gt;250 km/h via CAN injection</t>
  </si>
  <si>
    <t>Speedometer needle stops at 250 km/h maximum. Does not over-deflect beyond scale.</t>
  </si>
  <si>
    <t>SP005</t>
  </si>
  <si>
    <t>Verify speedometer needle returns smoothly to 0 when vehicle decelerates to stop</t>
  </si>
  <si>
    <t>Vehicle moving at speed. Display ON.</t>
  </si>
  <si>
    <t>Step 1: Drive at 80 km/h.
Step 2: Apply brakes to full stop.
Step 3: Observe needle movement during deceleration.
Step 4: Confirm needle returns to 0 smoothly.</t>
  </si>
  <si>
    <t>Start speed: 80 km/h → End speed: 0 km/h</t>
  </si>
  <si>
    <t>Speedometer needle returns smoothly to 0 without oscillation or sticking.</t>
  </si>
  <si>
    <t>RP001</t>
  </si>
  <si>
    <t>RPM</t>
  </si>
  <si>
    <t>Verify RPM gauge reads 0 when engine is OFF</t>
  </si>
  <si>
    <t>Engine OFF. Infotainment display ON. Engine ECU (0x103) in off state.</t>
  </si>
  <si>
    <t>Step 1: Ensure engine is OFF.
Step 2: Power ON infotainment display.
Step 3: Observe RPM gauge needle.
Step 4: Confirm needle at 0.</t>
  </si>
  <si>
    <t>Engine state: OFF
Expected RPM: 0</t>
  </si>
  <si>
    <t>RPM gauge needle rests at 0. No deflection.</t>
  </si>
  <si>
    <t>RP002</t>
  </si>
  <si>
    <t>Verify RPM gauge shows correct idle RPM (600–900) when engine running</t>
  </si>
  <si>
    <t>Engine running at idle. Engine ECU (0x103) transmitting RPM data.</t>
  </si>
  <si>
    <t>Step 1: Start engine and let it idle.
Step 2: Wait 10 seconds for stabilization.
Step 3: Read RPM gauge value.
Step 4: Compare with Engine ECU reported RPM.</t>
  </si>
  <si>
    <t>Engine state: Idle
Expected RPM: 600–900</t>
  </si>
  <si>
    <t>RPM gauge displays idle RPM between 600–900. Reading matches ECU data within ±50 RPM.</t>
  </si>
  <si>
    <t>RP003</t>
  </si>
  <si>
    <t>Critical</t>
  </si>
  <si>
    <t>Verify RPM gauge needle does not exceed 7000 RPM redline</t>
  </si>
  <si>
    <t>Engine running. Simulated high RPM signal injected via CAN.</t>
  </si>
  <si>
    <t>Step 1: Inject simulated RPM signal above 7000 via CAN bus.
Step 2: Observe RPM gauge needle.
Step 3: Confirm needle stops at or before 7000 mark.</t>
  </si>
  <si>
    <t>Simulated RPM: &gt;7000 via CAN injection</t>
  </si>
  <si>
    <t>RPM needle stops at 7000 redline. Does not deflect beyond maximum scale.</t>
  </si>
  <si>
    <t>RP004</t>
  </si>
  <si>
    <t>Verify RPM gauge responds correctly when engine is revved to 3500 RPM</t>
  </si>
  <si>
    <t>Engine running. Vehicle stationary (neutral or park).</t>
  </si>
  <si>
    <t>Step 1: Engine running at idle.
Step 2: Press accelerator to raise RPM to ~3500.
Step 3: Hold briefly.
Step 4: Read RPM gauge.
Step 5: Compare with OBD-II tachometer reference.</t>
  </si>
  <si>
    <t>Target RPM: 3500
Reference: OBD-II tachometer</t>
  </si>
  <si>
    <t>RPM gauge displays approximately 3500 RPM within ±100 RPM tolerance.</t>
  </si>
  <si>
    <t>CL001</t>
  </si>
  <si>
    <t>Clock</t>
  </si>
  <si>
    <t>Verify digital clock displays correct time on startup</t>
  </si>
  <si>
    <t>Telematics ECU (0x107) or RTC module providing time. Display ON.</t>
  </si>
  <si>
    <t>Step 1: Power ON infotainment display.
Step 2: Observe digital clock widget (HH:MM:SS format).
Step 3: Compare displayed time with reference clock.
Step 4: Verify format matches HH:MM:SS.</t>
  </si>
  <si>
    <t>Reference time source: Telematics ECU 0x107 / RTC</t>
  </si>
  <si>
    <t>Digital clock displays correct current time in HH:MM:SS format. Matches reference within ±1 second.</t>
  </si>
  <si>
    <t>CL002</t>
  </si>
  <si>
    <t>Verify digital clock seconds increment correctly in real time</t>
  </si>
  <si>
    <t>Display ON. Clock widget visible.</t>
  </si>
  <si>
    <t>Step 1: Observe the seconds digits on the digital clock.
Step 2: Count 10 real-world seconds using a stopwatch.
Step 3: Verify clock seconds incremented by exactly 10.</t>
  </si>
  <si>
    <t>Observation duration: 10 seconds
Expected increment: 10</t>
  </si>
  <si>
    <t>Clock seconds field increments exactly 10 counts over 10 real seconds. No skip or freeze.</t>
  </si>
  <si>
    <t>CL003</t>
  </si>
  <si>
    <t>Verify clock does not reset to 00:00:00 during CAN bus reconnect</t>
  </si>
  <si>
    <t>Display ON. Clock running. CAN bus active.</t>
  </si>
  <si>
    <t>Step 1: Note current time on clock.
Step 2: Disconnect and reconnect CAN bus.
Step 3: Observe clock immediately after reconnect.
Step 4: Verify clock continues from correct time.</t>
  </si>
  <si>
    <t>CAN bus: Disconnected then reconnected</t>
  </si>
  <si>
    <t>Clock continues from correct time after CAN reconnect. Does not reset to 00:00:00.</t>
  </si>
  <si>
    <t>AB001</t>
  </si>
  <si>
    <t>ABS</t>
  </si>
  <si>
    <t>Verify ABS warning LED (amber ring) illuminates when ABS ECU sends fault signal</t>
  </si>
  <si>
    <t>ABS ECU (0x101) connected and active. Display ON.</t>
  </si>
  <si>
    <t>Step 1: Inject ABS fault signal via CAN ID 0x101.
Step 2: Observe ABS warning icon on display.
Step 3: Confirm amber ring around ABS text illuminates.
Step 4: Confirm LED is clearly visible.</t>
  </si>
  <si>
    <t>ABS ECU CAN ID: 0x101
Signal: ABS fault injected</t>
  </si>
  <si>
    <t>ABS amber warning ring illuminates immediately on display when fault signal received.</t>
  </si>
  <si>
    <t>AB002</t>
  </si>
  <si>
    <t>Verify ABS warning LED extinguishes when ABS fault is cleared</t>
  </si>
  <si>
    <t>ABS fault active. ABS warning LED lit on display.</t>
  </si>
  <si>
    <t>Step 1: Confirm ABS warning LED is illuminated.
Step 2: Send ABS fault clear signal via CAN ID 0x101.
Step 3: Observe ABS warning icon.
Step 4: Confirm LED turns OFF.</t>
  </si>
  <si>
    <t>ABS ECU CAN ID: 0x101
Signal: Fault cleared</t>
  </si>
  <si>
    <t>ABS amber warning ring extinguishes immediately when fault cleared signal received.</t>
  </si>
  <si>
    <t>AB003</t>
  </si>
  <si>
    <t>Verify ABS warning does not illuminate during normal braking operation</t>
  </si>
  <si>
    <t>ABS ECU transmitting normal (no fault) status. Vehicle braking.</t>
  </si>
  <si>
    <t>Step 1: Simulate normal braking signal via CAN 0x101 (no fault flag).
Step 2: Observe ABS icon on display.
Step 3: Confirm ABS LED remains OFF.</t>
  </si>
  <si>
    <t>ABS ECU CAN ID: 0x101
Signal: Normal brake operation, no fault</t>
  </si>
  <si>
    <t>ABS warning LED remains OFF during normal braking. No false positive.</t>
  </si>
  <si>
    <t>AG001</t>
  </si>
  <si>
    <t>Airbag</t>
  </si>
  <si>
    <t>Verify Airbag indicator is visible and correctly displayed on panel</t>
  </si>
  <si>
    <t>Display ON. Airbag ECU (0x100) connected and transmitting.</t>
  </si>
  <si>
    <t>Step 1: Power ON display.
Step 2: Observe airbag icon in top-right panel area.
Step 3: Confirm airbag symbol (person with circle) is shown.</t>
  </si>
  <si>
    <t>Airbag ECU CAN ID: 0x100</t>
  </si>
  <si>
    <t>Airbag icon is clearly visible on the display in correct position.</t>
  </si>
  <si>
    <t>AG002</t>
  </si>
  <si>
    <t>Verify Airbag warning activates when Airbag ECU sends crash detection signal</t>
  </si>
  <si>
    <t>Airbag ECU (0x100) connected. Display ON. CAN bus active.</t>
  </si>
  <si>
    <t>Step 1: Inject crash detection signal via CAN ID 0x100.
Step 2: Observe airbag icon on display immediately.
Step 3: Confirm visual alert or change in airbag icon state.</t>
  </si>
  <si>
    <t>Airbag ECU CAN ID: 0x100
Signal: Crash detection triggered</t>
  </si>
  <si>
    <t>Airbag warning activates on display immediately upon receiving crash detection signal from ECU 0x100.</t>
  </si>
  <si>
    <t>AG003</t>
  </si>
  <si>
    <t>Verify Airbag ECU (0x100) has highest CAN bus priority over all other ECUs</t>
  </si>
  <si>
    <t>CAN analyzer connected. Airbag ECU and Infotainment ECU both transmitting.</t>
  </si>
  <si>
    <t>Step 1: Connect CAN analyzer.
Step 2: Trigger simultaneous transmission from 0x100 and 0x108.
Step 3: Review captured log.
Step 4: Confirm 0x100 appears before 0x108.</t>
  </si>
  <si>
    <t>Airbag CAN ID: 0x100
Infotainment CAN ID: 0x108</t>
  </si>
  <si>
    <t>CAN log shows 0x100 (Airbag) transmitted before 0x108 (Infotainment). Arbitration confirms highest priority.</t>
  </si>
  <si>
    <t>SB001</t>
  </si>
  <si>
    <t>Seat/Belt</t>
  </si>
  <si>
    <t>Verify red LED dot illuminates on car icon when seatbelt warning is active</t>
  </si>
  <si>
    <t>Passenger seated. Seatbelt not fastened. STM32 and touch sensor active.</t>
  </si>
  <si>
    <t>Step 1: Have passenger sit in seat.
Step 2: Leave seatbelt unfastened.
Step 3: Observe car icon on display.
Step 4: Confirm red dot LED is illuminated.</t>
  </si>
  <si>
    <t>IR Sensor: Passenger Present
Touch Sensor: Seatbelt NOT Fastened</t>
  </si>
  <si>
    <t>Red LED dot on car icon illuminates to indicate seatbelt warning condition.</t>
  </si>
  <si>
    <t>SB002</t>
  </si>
  <si>
    <t>Verify red LED dot extinguishes when seatbelt is fastened</t>
  </si>
  <si>
    <t>Red LED dot currently illuminated. Passenger seated. Seatbelt unfastened.</t>
  </si>
  <si>
    <t>Step 1: Confirm red LED dot is ON.
Step 2: Fasten seatbelt.
Step 3: Wait 2 seconds.
Step 4: Observe car icon.
Step 5: Confirm red dot turns OFF.</t>
  </si>
  <si>
    <t>IR Sensor: Passenger Present
Touch Sensor: Seatbelt Fastened</t>
  </si>
  <si>
    <t>Red LED dot on car icon extinguishes when seatbelt is fastened.</t>
  </si>
  <si>
    <t>SB003</t>
  </si>
  <si>
    <t>Verify passenger seat icon shows correct status when seat is occupied</t>
  </si>
  <si>
    <t>IR sensor connected and calibrated. STM32 active. Display ON.</t>
  </si>
  <si>
    <t>Step 1: Ensure seat is empty — note icon state.
Step 2: Have person sit in seat.
Step 3: Wait 2 seconds for IR sensor detection.
Step 4: Observe seat icon on display.</t>
  </si>
  <si>
    <t>IR Sensor: Passenger detected
STM32: Active</t>
  </si>
  <si>
    <t>Passenger seat icon on display updates to indicate occupied state.</t>
  </si>
  <si>
    <t>SB004</t>
  </si>
  <si>
    <t>Verify seatbelt icon reflects fastened state correctly</t>
  </si>
  <si>
    <t>Touch sensor connected. STM32 active. Display ON.</t>
  </si>
  <si>
    <t>Step 1: Unfasten seatbelt — observe icon.
Step 2: Fasten seatbelt.
Step 3: Wait 2 seconds.
Step 4: Observe seatbelt icon on display.
Step 5: Confirm icon changed to fastened state.</t>
  </si>
  <si>
    <t>Touch Sensor: Seatbelt Fastened
STM32: Active</t>
  </si>
  <si>
    <t>Seatbelt icon changes to reflect fastened state when buckle is engaged.</t>
  </si>
  <si>
    <t>SB005</t>
  </si>
  <si>
    <t>Verify NO warning when seat is empty and seatbelt is unfastened</t>
  </si>
  <si>
    <t>IR sensor: no detection. Touch sensor: no contact. Display ON.</t>
  </si>
  <si>
    <t>Step 1: Ensure passenger seat is completely empty.
Step 2: Ensure seatbelt is unfastened.
Step 3: Wait 2 seconds.
Step 4: Observe display for any warning or LED.</t>
  </si>
  <si>
    <t>IR Sensor: Seat Empty
Touch Sensor: NOT Fastened</t>
  </si>
  <si>
    <t>No warning LED or alert appears. Seat empty + unfastened belt must never trigger a warning.</t>
  </si>
  <si>
    <t>DM001</t>
  </si>
  <si>
    <t>Drive Mode</t>
  </si>
  <si>
    <t>Verify Drive (D) mode button highlights correctly when selected</t>
  </si>
  <si>
    <t>Display ON. Transmission ECU (0x104) active. Vehicle in park.</t>
  </si>
  <si>
    <t>Step 1: Observe drive mode panel on display.
Step 2: Select Drive (D) mode.
Step 3: Confirm D button highlights (blue border/indicator).
Step 4: Confirm other modes (R, N, P, S) are not highlighted.</t>
  </si>
  <si>
    <t>Transmission ECU CAN ID: 0x104
Selected mode: D (Drive)</t>
  </si>
  <si>
    <t>D button highlights with correct visual indicator. All other mode buttons remain unselected.</t>
  </si>
  <si>
    <t>DM002</t>
  </si>
  <si>
    <t>Verify Reverse (R) mode button highlights correctly when selected</t>
  </si>
  <si>
    <t>Display ON. Transmission ECU (0x104) active.</t>
  </si>
  <si>
    <t>Step 1: Select Reverse (R) mode.
Step 2: Confirm R button highlights (red border/indicator).
Step 3: Confirm all other mode buttons are deselected.</t>
  </si>
  <si>
    <t>Transmission ECU CAN ID: 0x104
Selected mode: R (Reverse)</t>
  </si>
  <si>
    <t>R button highlights with red indicator. All other buttons deselected.</t>
  </si>
  <si>
    <t>DM003</t>
  </si>
  <si>
    <t>Verify Neutral (N) mode button highlights correctly when selected</t>
  </si>
  <si>
    <t>Step 1: Select Neutral (N) mode.
Step 2: Confirm N button highlights.
Step 3: Confirm all other mode buttons are deselected.</t>
  </si>
  <si>
    <t>Transmission ECU CAN ID: 0x104
Selected mode: N (Neutral)</t>
  </si>
  <si>
    <t>N button highlights with correct visual indicator. All other buttons deselected.</t>
  </si>
  <si>
    <t>DM004</t>
  </si>
  <si>
    <t>Verify Park (P) mode button highlights correctly when selected</t>
  </si>
  <si>
    <t>Step 1: Select Park (P) mode.
Step 2: Confirm P button highlights.
Step 3: Confirm all other mode buttons are deselected.</t>
  </si>
  <si>
    <t>Transmission ECU CAN ID: 0x104
Selected mode: P (Park)</t>
  </si>
  <si>
    <t>P button highlights with correct visual indicator. All other buttons deselected.</t>
  </si>
  <si>
    <t>DM005</t>
  </si>
  <si>
    <t>Verify Sport (S) mode button highlights correctly when selected</t>
  </si>
  <si>
    <t>Step 1: Select Sport (S) mode.
Step 2: Confirm S button highlights (red border/indicator).
Step 3: Confirm all other mode buttons are deselected.</t>
  </si>
  <si>
    <t>Transmission ECU CAN ID: 0x104
Selected mode: S (Sport)</t>
  </si>
  <si>
    <t>S button highlights with red indicator. All other buttons deselected.</t>
  </si>
  <si>
    <t>DM006</t>
  </si>
  <si>
    <t>Verify only one drive mode can be active at a time</t>
  </si>
  <si>
    <t>Display ON. Transmission ECU active. One mode currently selected.</t>
  </si>
  <si>
    <t>Step 1: Select D mode — confirm D highlighted.
Step 2: Select S mode — confirm S highlighted.
Step 3: Confirm D is no longer highlighted.
Step 4: Repeat for all 5 modes.</t>
  </si>
  <si>
    <t>All 5 modes: D, R, N, P, S
Transmission ECU CAN ID: 0x104</t>
  </si>
  <si>
    <t>Only one drive mode is highlighted at any time. Selecting a new mode deselects the previous one.</t>
  </si>
  <si>
    <t>DM007</t>
  </si>
  <si>
    <t>Verify Transmission ECU (0x104) receives correct gear selection signal on CAN bus</t>
  </si>
  <si>
    <t>CAN analyzer connected. Transmission ECU (0x104) active.</t>
  </si>
  <si>
    <t>Step 1: Connect CAN analyzer and start recording.
Step 2: Select each drive mode in sequence (D, R, N, P, S).
Step 3: After each selection, check CAN log for 0x104 message.
Step 4: Verify signal value matches selected gear.</t>
  </si>
  <si>
    <t>Transmission ECU CAN ID: 0x104
Modes: D=1, R=2, N=0, P=3, S=4</t>
  </si>
  <si>
    <t>CAN log shows correct 0x104 message for each mode selection. Signal value matches selected gear.</t>
  </si>
  <si>
    <t>WN001</t>
  </si>
  <si>
    <t>Warning</t>
  </si>
  <si>
    <t>Verify central brake/warning arc LEDs illuminate on warning condition</t>
  </si>
  <si>
    <t>Display ON. Safety ECU transmitting fault. Warning arc visible at top-center.</t>
  </si>
  <si>
    <t>Step 1: Inject fault signal from safety ECU (0x100 or 0x101).
Step 2: Observe warning arc LEDs at center-top of display.
Step 3: Confirm arc LEDs illuminate to indicate fault state.</t>
  </si>
  <si>
    <t>Safety ECU: 0x100 or 0x101
Fault signal injected via CAN</t>
  </si>
  <si>
    <t>Warning arc LEDs illuminate at center top of panel. Warning (!) icon is clearly visible.</t>
  </si>
  <si>
    <t>WN002</t>
  </si>
  <si>
    <t>Verify warning indicator (!) icon is visible and not obscured</t>
  </si>
  <si>
    <t>Display ON. Panel fully rendered.</t>
  </si>
  <si>
    <t>Step 1: Power ON display and wait for full boot.
Step 2: Observe center-top area of panel.
Step 3: Confirm circular warning indicator with (!) symbol is rendered.
Step 4: Confirm no overlap with other elements.</t>
  </si>
  <si>
    <t>Display state: Fully booted</t>
  </si>
  <si>
    <t>Warning (!) indicator icon is clearly visible at correct position. Not obscured by any other panel element.</t>
  </si>
  <si>
    <t>WN003</t>
  </si>
  <si>
    <t>Verify warning arc LEDs extinguish when fault condition is cleared</t>
  </si>
  <si>
    <t>Warning arc LEDs currently illuminated. Fault active.</t>
  </si>
  <si>
    <t>Step 1: Confirm warning arc is illuminated.
Step 2: Send fault clear signal via CAN from relevant ECU.
Step 3: Observe warning arc.
Step 4: Confirm arc LEDs turn OFF.</t>
  </si>
  <si>
    <t>Fault clear signal: sent via CAN
Relevant ECU: 0x100 or 0x101</t>
  </si>
  <si>
    <t>Warning arc LEDs extinguish immediately when fault is cleared. No residual illumination.</t>
  </si>
  <si>
    <t>EC001</t>
  </si>
  <si>
    <t>eCall</t>
  </si>
  <si>
    <t>Verify eCall icon is displayed correctly on the panel</t>
  </si>
  <si>
    <t>Display ON. Telematics ECU (0x107) active.</t>
  </si>
  <si>
    <t>Step 1: Power ON display.
Step 2: Observe eCall icon position on panel (top-right area).
Step 3: Confirm eCall symbol (car with signal waves) is rendered correctly.</t>
  </si>
  <si>
    <t>Telematics ECU CAN ID: 0x107</t>
  </si>
  <si>
    <t>eCall icon is clearly rendered in correct position on panel. Symbol is recognizable and not distorted.</t>
  </si>
  <si>
    <t>EC002</t>
  </si>
  <si>
    <t>Verify eCall signal is triggered when emergency condition is detected</t>
  </si>
  <si>
    <t>Telematics ECU (0x107) active. Airbag ECU (0x100) connected. CAN bus active.</t>
  </si>
  <si>
    <t>Step 1: Inject crash detection signal via Airbag ECU (0x100).
Step 2: Observe eCall icon on display.
Step 3: Check Telematics ECU (0x107) CAN log for eCall transmission signal.
Step 4: Confirm eCall is triggered.</t>
  </si>
  <si>
    <t>Airbag ECU CAN ID: 0x100 (crash trigger)
Telematics ECU CAN ID: 0x107 (eCall sender)</t>
  </si>
  <si>
    <t>eCall is triggered on display and Telematics ECU transmits emergency signal via CAN 0x107 when crash detected.</t>
  </si>
  <si>
    <t>EC003</t>
  </si>
  <si>
    <t>Verify eCall icon shows active/transmitting state during emergency call</t>
  </si>
  <si>
    <t>eCall triggered. Telematics ECU transmitting emergency signal.</t>
  </si>
  <si>
    <t>Step 1: Trigger eCall condition (crash signal from 0x100).
Step 2: Observe eCall icon on display.
Step 3: Confirm icon changes state to indicate active call in progress.</t>
  </si>
  <si>
    <t>eCall state: Active/Transmitting
Telematics ECU CAN ID: 0x107</t>
  </si>
  <si>
    <t>eCall icon changes to active/transmitting state during emergency call. Visual distinction from idle state.</t>
  </si>
  <si>
    <t>SM001</t>
  </si>
  <si>
    <t>SMS</t>
  </si>
  <si>
    <t>Verify SMS notification red LED dot illuminates when new message arrives</t>
  </si>
  <si>
    <t>Display ON. Telematics ECU (0x107) active. SMS notification feature enabled.</t>
  </si>
  <si>
    <t>Step 1: Observe SMS icon on display (envelope icon).
Step 2: Inject new SMS notification signal via Telematics ECU (0x107).
Step 3: Observe SMS icon.
Step 4: Confirm red dot LED appears on envelope icon.</t>
  </si>
  <si>
    <t>Telematics ECU CAN ID: 0x107
SMS notification signal: injected</t>
  </si>
  <si>
    <t>Red dot LED illuminates on SMS envelope icon when new SMS notification signal received.</t>
  </si>
  <si>
    <t>SM002</t>
  </si>
  <si>
    <t>Verify SMS red LED dot extinguishes after notification is acknowledged</t>
  </si>
  <si>
    <t>SMS red LED dot currently illuminated. New message notification active.</t>
  </si>
  <si>
    <t>Step 1: Confirm red LED dot is ON on SMS icon.
Step 2: Acknowledge/dismiss SMS notification.
Step 3: Send acknowledgement signal via CAN or UI interaction.
Step 4: Observe SMS icon.</t>
  </si>
  <si>
    <t>SMS state: Acknowledged
Telematics ECU CAN ID: 0x107</t>
  </si>
  <si>
    <t>Red LED dot on SMS icon extinguishes after notification is acknowledged. Returns to idle state.</t>
  </si>
  <si>
    <t>SM003</t>
  </si>
  <si>
    <t>Low</t>
  </si>
  <si>
    <t>Verify SMS icon is displayed correctly on the panel at correct position</t>
  </si>
  <si>
    <t>Display ON. Panel fully booted.</t>
  </si>
  <si>
    <t>Step 1: Power ON display and wait for full boot.
Step 2: Observe SMS icon position (top-right area).
Step 3: Confirm envelope icon is correctly rendered.
Step 4: Confirm position does not overlap other elements.</t>
  </si>
  <si>
    <t>SMS envelope icon rendered correctly in top-right area. Not obscured or overlapping other panel elements.</t>
  </si>
  <si>
    <t>Test Execution Summary</t>
  </si>
  <si>
    <t>Total</t>
  </si>
  <si>
    <t>Pass</t>
  </si>
  <si>
    <t>Fail</t>
  </si>
  <si>
    <t>Pass %</t>
  </si>
  <si>
    <t>TOTAL</t>
  </si>
  <si>
    <t>ECU Node Reference</t>
  </si>
  <si>
    <t>ECU Node</t>
  </si>
  <si>
    <t>CAN ID</t>
  </si>
  <si>
    <t>Function</t>
  </si>
  <si>
    <t>Related Test IDs</t>
  </si>
  <si>
    <t>Airbag ECU</t>
  </si>
  <si>
    <t>0x100</t>
  </si>
  <si>
    <t>Crash detection &amp; airbag deployment</t>
  </si>
  <si>
    <t>Highest</t>
  </si>
  <si>
    <t>AG001, AG002, AG003, WN001, EC002</t>
  </si>
  <si>
    <t>ABS ECU</t>
  </si>
  <si>
    <t>0x101</t>
  </si>
  <si>
    <t>Active safety / brake control</t>
  </si>
  <si>
    <t>AB001, AB002, AB003, WN001</t>
  </si>
  <si>
    <t>(Reserved)</t>
  </si>
  <si>
    <t>0x102</t>
  </si>
  <si>
    <t>Reserved for future expansion</t>
  </si>
  <si>
    <t>—</t>
  </si>
  <si>
    <t>Engine ECU</t>
  </si>
  <si>
    <t>0x103</t>
  </si>
  <si>
    <t>Powertrain management</t>
  </si>
  <si>
    <t>SP001–SP005, RP001–RP004</t>
  </si>
  <si>
    <t>Transmission ECU</t>
  </si>
  <si>
    <t>0x104</t>
  </si>
  <si>
    <t>Gear shifting (linked to Engine)</t>
  </si>
  <si>
    <t>Medium-High</t>
  </si>
  <si>
    <t>DM001–DM007</t>
  </si>
  <si>
    <t>Battery ECU</t>
  </si>
  <si>
    <t>0x105</t>
  </si>
  <si>
    <t>Power management</t>
  </si>
  <si>
    <t>Body ECU</t>
  </si>
  <si>
    <t>0x106</t>
  </si>
  <si>
    <t>Comfort &amp; access control</t>
  </si>
  <si>
    <t>Telematics ECU</t>
  </si>
  <si>
    <t>0x107</t>
  </si>
  <si>
    <t>Communication &amp; data logging</t>
  </si>
  <si>
    <t>CL001–CL003, EC001–EC003, SM001–SM003</t>
  </si>
  <si>
    <t>Infotainment ECU</t>
  </si>
  <si>
    <t>0x108</t>
  </si>
  <si>
    <t>Display &amp; user interface</t>
  </si>
  <si>
    <t>Lowest</t>
  </si>
  <si>
    <t>SP001–SP005, RP001–RP004, CL001–CL003, DM001–DM007</t>
  </si>
  <si>
    <t>Note: ID 0x102 is reserved for future expansion. STM32 microcontroller handles IR sensor (passenger detection) and touch sensor (seatbelt) — transmits via CAN to Infotainment ECU (0x108).</t>
  </si>
  <si>
    <t>pass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</si>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</sst>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3"/>
      <color rgb="FFFFFFFF"/>
      <name val="Arial"/>
    </font>
    <font>
      <sz val="10"/>
      <color rgb="FF888888"/>
      <name val="Arial"/>
    </font>
    <font>
      <i/>
      <sz val="9"/>
      <color rgb="FF666666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EF3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D0E0E3"/>
      </patternFill>
    </fill>
    <fill>
      <patternFill patternType="solid">
        <fgColor rgb="FFFFE5CC"/>
      </patternFill>
    </fill>
    <fill>
      <patternFill patternType="solid">
        <fgColor rgb="FFCFE2F3"/>
      </patternFill>
    </fill>
    <fill>
      <patternFill patternType="solid">
        <fgColor rgb="FFE8D5F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center" vertical="top" wrapText="1"/>
    </xf>
    <xf numFmtId="0" fontId="3" fillId="15" borderId="1" xfId="0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horizontal="center" vertical="top" wrapText="1"/>
    </xf>
    <xf numFmtId="0" fontId="3" fillId="16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9" fontId="3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6" fillId="19" borderId="1" xfId="0" applyFont="1" applyFill="1" applyBorder="1" applyAlignment="1">
      <alignment horizontal="center" vertical="top" wrapText="1"/>
    </xf>
    <xf numFmtId="0" fontId="6" fillId="19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H1" workbookViewId="0">
      <pane ySplit="2" topLeftCell="A39" activePane="bottomLeft" state="frozen"/>
      <selection pane="bottomLeft" activeCell="J41" sqref="J41"/>
    </sheetView>
  </sheetViews>
  <sheetFormatPr defaultRowHeight="15" x14ac:dyDescent="0.25"/>
  <cols>
    <col min="1" max="1" width="10" customWidth="1"/>
    <col min="2" max="2" width="14" customWidth="1"/>
    <col min="3" max="3" width="12" customWidth="1"/>
    <col min="4" max="4" width="42" customWidth="1"/>
    <col min="5" max="5" width="38" customWidth="1"/>
    <col min="6" max="6" width="48" customWidth="1"/>
    <col min="7" max="7" width="32" customWidth="1"/>
    <col min="8" max="8" width="42" customWidth="1"/>
    <col min="9" max="9" width="32" customWidth="1"/>
    <col min="10" max="10" width="12" customWidth="1"/>
  </cols>
  <sheetData>
    <row r="1" spans="1:10" ht="30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2" customHeight="1" x14ac:dyDescent="0.25">
      <c r="A3" s="2" t="s">
        <v>11</v>
      </c>
      <c r="B3" s="3" t="s">
        <v>12</v>
      </c>
      <c r="C3" s="4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/>
      <c r="J3" s="6" t="s">
        <v>305</v>
      </c>
    </row>
    <row r="4" spans="1:10" ht="72" customHeight="1" x14ac:dyDescent="0.25">
      <c r="A4" s="2" t="s">
        <v>20</v>
      </c>
      <c r="B4" s="3" t="s">
        <v>12</v>
      </c>
      <c r="C4" s="4" t="s">
        <v>13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/>
      <c r="J4" s="6" t="s">
        <v>305</v>
      </c>
    </row>
    <row r="5" spans="1:10" ht="72" customHeight="1" x14ac:dyDescent="0.25">
      <c r="A5" s="2" t="s">
        <v>26</v>
      </c>
      <c r="B5" s="3" t="s">
        <v>12</v>
      </c>
      <c r="C5" s="4" t="s">
        <v>13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/>
      <c r="J5" s="6" t="s">
        <v>305</v>
      </c>
    </row>
    <row r="6" spans="1:10" ht="72" customHeight="1" x14ac:dyDescent="0.25">
      <c r="A6" s="2" t="s">
        <v>32</v>
      </c>
      <c r="B6" s="3" t="s">
        <v>12</v>
      </c>
      <c r="C6" s="8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/>
      <c r="J6" s="6" t="s">
        <v>305</v>
      </c>
    </row>
    <row r="7" spans="1:10" ht="72" customHeight="1" x14ac:dyDescent="0.25">
      <c r="A7" s="2" t="s">
        <v>39</v>
      </c>
      <c r="B7" s="3" t="s">
        <v>12</v>
      </c>
      <c r="C7" s="8" t="s">
        <v>33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/>
      <c r="J7" s="6" t="s">
        <v>306</v>
      </c>
    </row>
    <row r="8" spans="1:10" ht="72" customHeight="1" x14ac:dyDescent="0.25">
      <c r="A8" s="9" t="s">
        <v>45</v>
      </c>
      <c r="B8" s="10" t="s">
        <v>46</v>
      </c>
      <c r="C8" s="4" t="s">
        <v>13</v>
      </c>
      <c r="D8" s="7" t="s">
        <v>47</v>
      </c>
      <c r="E8" s="7" t="s">
        <v>48</v>
      </c>
      <c r="F8" s="7" t="s">
        <v>49</v>
      </c>
      <c r="G8" s="7" t="s">
        <v>50</v>
      </c>
      <c r="H8" s="7" t="s">
        <v>51</v>
      </c>
      <c r="I8" s="7"/>
      <c r="J8" s="6" t="s">
        <v>305</v>
      </c>
    </row>
    <row r="9" spans="1:10" ht="72" customHeight="1" x14ac:dyDescent="0.25">
      <c r="A9" s="9" t="s">
        <v>52</v>
      </c>
      <c r="B9" s="10" t="s">
        <v>46</v>
      </c>
      <c r="C9" s="4" t="s">
        <v>13</v>
      </c>
      <c r="D9" s="5" t="s">
        <v>53</v>
      </c>
      <c r="E9" s="5" t="s">
        <v>54</v>
      </c>
      <c r="F9" s="5" t="s">
        <v>55</v>
      </c>
      <c r="G9" s="5" t="s">
        <v>56</v>
      </c>
      <c r="H9" s="5" t="s">
        <v>57</v>
      </c>
      <c r="I9" s="5"/>
      <c r="J9" s="6" t="s">
        <v>305</v>
      </c>
    </row>
    <row r="10" spans="1:10" ht="72" customHeight="1" x14ac:dyDescent="0.25">
      <c r="A10" s="9" t="s">
        <v>58</v>
      </c>
      <c r="B10" s="10" t="s">
        <v>46</v>
      </c>
      <c r="C10" s="11" t="s">
        <v>59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/>
      <c r="J10" s="6" t="s">
        <v>305</v>
      </c>
    </row>
    <row r="11" spans="1:10" ht="72" customHeight="1" x14ac:dyDescent="0.25">
      <c r="A11" s="9" t="s">
        <v>65</v>
      </c>
      <c r="B11" s="10" t="s">
        <v>46</v>
      </c>
      <c r="C11" s="8" t="s">
        <v>33</v>
      </c>
      <c r="D11" s="5" t="s">
        <v>66</v>
      </c>
      <c r="E11" s="5" t="s">
        <v>67</v>
      </c>
      <c r="F11" s="5" t="s">
        <v>68</v>
      </c>
      <c r="G11" s="5" t="s">
        <v>69</v>
      </c>
      <c r="H11" s="5" t="s">
        <v>70</v>
      </c>
      <c r="I11" s="5"/>
      <c r="J11" s="6" t="s">
        <v>305</v>
      </c>
    </row>
    <row r="12" spans="1:10" ht="72" customHeight="1" x14ac:dyDescent="0.25">
      <c r="A12" s="8" t="s">
        <v>71</v>
      </c>
      <c r="B12" s="12" t="s">
        <v>72</v>
      </c>
      <c r="C12" s="8" t="s">
        <v>33</v>
      </c>
      <c r="D12" s="7" t="s">
        <v>73</v>
      </c>
      <c r="E12" s="7" t="s">
        <v>74</v>
      </c>
      <c r="F12" s="7" t="s">
        <v>75</v>
      </c>
      <c r="G12" s="7" t="s">
        <v>76</v>
      </c>
      <c r="H12" s="7" t="s">
        <v>77</v>
      </c>
      <c r="I12" s="7"/>
      <c r="J12" s="6" t="s">
        <v>305</v>
      </c>
    </row>
    <row r="13" spans="1:10" ht="72" customHeight="1" x14ac:dyDescent="0.25">
      <c r="A13" s="8" t="s">
        <v>78</v>
      </c>
      <c r="B13" s="12" t="s">
        <v>72</v>
      </c>
      <c r="C13" s="8" t="s">
        <v>33</v>
      </c>
      <c r="D13" s="5" t="s">
        <v>79</v>
      </c>
      <c r="E13" s="5" t="s">
        <v>80</v>
      </c>
      <c r="F13" s="5" t="s">
        <v>81</v>
      </c>
      <c r="G13" s="5" t="s">
        <v>82</v>
      </c>
      <c r="H13" s="5" t="s">
        <v>83</v>
      </c>
      <c r="I13" s="5"/>
      <c r="J13" s="6" t="s">
        <v>305</v>
      </c>
    </row>
    <row r="14" spans="1:10" ht="72" customHeight="1" x14ac:dyDescent="0.25">
      <c r="A14" s="8" t="s">
        <v>84</v>
      </c>
      <c r="B14" s="12" t="s">
        <v>72</v>
      </c>
      <c r="C14" s="4" t="s">
        <v>13</v>
      </c>
      <c r="D14" s="7" t="s">
        <v>85</v>
      </c>
      <c r="E14" s="7" t="s">
        <v>86</v>
      </c>
      <c r="F14" s="7" t="s">
        <v>87</v>
      </c>
      <c r="G14" s="7" t="s">
        <v>88</v>
      </c>
      <c r="H14" s="7" t="s">
        <v>89</v>
      </c>
      <c r="I14" s="7"/>
      <c r="J14" s="6" t="s">
        <v>19</v>
      </c>
    </row>
    <row r="15" spans="1:10" ht="72" customHeight="1" x14ac:dyDescent="0.25">
      <c r="A15" s="4" t="s">
        <v>90</v>
      </c>
      <c r="B15" s="13" t="s">
        <v>91</v>
      </c>
      <c r="C15" s="11" t="s">
        <v>59</v>
      </c>
      <c r="D15" s="5" t="s">
        <v>92</v>
      </c>
      <c r="E15" s="5" t="s">
        <v>93</v>
      </c>
      <c r="F15" s="5" t="s">
        <v>94</v>
      </c>
      <c r="G15" s="5" t="s">
        <v>95</v>
      </c>
      <c r="H15" s="5" t="s">
        <v>96</v>
      </c>
      <c r="I15" s="5"/>
      <c r="J15" s="6" t="s">
        <v>305</v>
      </c>
    </row>
    <row r="16" spans="1:10" ht="72" customHeight="1" x14ac:dyDescent="0.25">
      <c r="A16" s="4" t="s">
        <v>97</v>
      </c>
      <c r="B16" s="13" t="s">
        <v>91</v>
      </c>
      <c r="C16" s="11" t="s">
        <v>59</v>
      </c>
      <c r="D16" s="7" t="s">
        <v>98</v>
      </c>
      <c r="E16" s="7" t="s">
        <v>99</v>
      </c>
      <c r="F16" s="7" t="s">
        <v>100</v>
      </c>
      <c r="G16" s="7" t="s">
        <v>101</v>
      </c>
      <c r="H16" s="7" t="s">
        <v>102</v>
      </c>
      <c r="I16" s="7"/>
      <c r="J16" s="6" t="s">
        <v>305</v>
      </c>
    </row>
    <row r="17" spans="1:10" ht="72" customHeight="1" x14ac:dyDescent="0.25">
      <c r="A17" s="4" t="s">
        <v>103</v>
      </c>
      <c r="B17" s="13" t="s">
        <v>91</v>
      </c>
      <c r="C17" s="4" t="s">
        <v>13</v>
      </c>
      <c r="D17" s="5" t="s">
        <v>104</v>
      </c>
      <c r="E17" s="5" t="s">
        <v>105</v>
      </c>
      <c r="F17" s="5" t="s">
        <v>106</v>
      </c>
      <c r="G17" s="5" t="s">
        <v>107</v>
      </c>
      <c r="H17" s="5" t="s">
        <v>108</v>
      </c>
      <c r="I17" s="5"/>
      <c r="J17" s="6" t="s">
        <v>305</v>
      </c>
    </row>
    <row r="18" spans="1:10" ht="72" customHeight="1" x14ac:dyDescent="0.25">
      <c r="A18" s="11" t="s">
        <v>109</v>
      </c>
      <c r="B18" s="14" t="s">
        <v>110</v>
      </c>
      <c r="C18" s="11" t="s">
        <v>59</v>
      </c>
      <c r="D18" s="7" t="s">
        <v>111</v>
      </c>
      <c r="E18" s="7" t="s">
        <v>112</v>
      </c>
      <c r="F18" s="7" t="s">
        <v>113</v>
      </c>
      <c r="G18" s="7" t="s">
        <v>114</v>
      </c>
      <c r="H18" s="7" t="s">
        <v>115</v>
      </c>
      <c r="I18" s="7"/>
      <c r="J18" s="6" t="s">
        <v>305</v>
      </c>
    </row>
    <row r="19" spans="1:10" ht="72" customHeight="1" x14ac:dyDescent="0.25">
      <c r="A19" s="11" t="s">
        <v>116</v>
      </c>
      <c r="B19" s="14" t="s">
        <v>110</v>
      </c>
      <c r="C19" s="11" t="s">
        <v>59</v>
      </c>
      <c r="D19" s="5" t="s">
        <v>117</v>
      </c>
      <c r="E19" s="5" t="s">
        <v>118</v>
      </c>
      <c r="F19" s="5" t="s">
        <v>119</v>
      </c>
      <c r="G19" s="5" t="s">
        <v>120</v>
      </c>
      <c r="H19" s="5" t="s">
        <v>121</v>
      </c>
      <c r="I19" s="5"/>
      <c r="J19" s="6" t="s">
        <v>305</v>
      </c>
    </row>
    <row r="20" spans="1:10" ht="72" customHeight="1" x14ac:dyDescent="0.25">
      <c r="A20" s="11" t="s">
        <v>122</v>
      </c>
      <c r="B20" s="14" t="s">
        <v>110</v>
      </c>
      <c r="C20" s="11" t="s">
        <v>59</v>
      </c>
      <c r="D20" s="7" t="s">
        <v>123</v>
      </c>
      <c r="E20" s="7" t="s">
        <v>124</v>
      </c>
      <c r="F20" s="7" t="s">
        <v>125</v>
      </c>
      <c r="G20" s="7" t="s">
        <v>126</v>
      </c>
      <c r="H20" s="7" t="s">
        <v>127</v>
      </c>
      <c r="I20" s="7"/>
      <c r="J20" s="6" t="s">
        <v>305</v>
      </c>
    </row>
    <row r="21" spans="1:10" ht="72" customHeight="1" x14ac:dyDescent="0.25">
      <c r="A21" s="15" t="s">
        <v>128</v>
      </c>
      <c r="B21" s="16" t="s">
        <v>129</v>
      </c>
      <c r="C21" s="11" t="s">
        <v>59</v>
      </c>
      <c r="D21" s="5" t="s">
        <v>130</v>
      </c>
      <c r="E21" s="5" t="s">
        <v>131</v>
      </c>
      <c r="F21" s="5" t="s">
        <v>132</v>
      </c>
      <c r="G21" s="5" t="s">
        <v>133</v>
      </c>
      <c r="H21" s="5" t="s">
        <v>134</v>
      </c>
      <c r="I21" s="5"/>
      <c r="J21" s="6" t="s">
        <v>305</v>
      </c>
    </row>
    <row r="22" spans="1:10" ht="72" customHeight="1" x14ac:dyDescent="0.25">
      <c r="A22" s="15" t="s">
        <v>135</v>
      </c>
      <c r="B22" s="16" t="s">
        <v>129</v>
      </c>
      <c r="C22" s="11" t="s">
        <v>59</v>
      </c>
      <c r="D22" s="7" t="s">
        <v>136</v>
      </c>
      <c r="E22" s="7" t="s">
        <v>137</v>
      </c>
      <c r="F22" s="7" t="s">
        <v>138</v>
      </c>
      <c r="G22" s="7" t="s">
        <v>139</v>
      </c>
      <c r="H22" s="7" t="s">
        <v>140</v>
      </c>
      <c r="I22" s="7"/>
      <c r="J22" s="6" t="s">
        <v>305</v>
      </c>
    </row>
    <row r="23" spans="1:10" ht="72" customHeight="1" x14ac:dyDescent="0.25">
      <c r="A23" s="15" t="s">
        <v>141</v>
      </c>
      <c r="B23" s="16" t="s">
        <v>129</v>
      </c>
      <c r="C23" s="4" t="s">
        <v>13</v>
      </c>
      <c r="D23" s="5" t="s">
        <v>142</v>
      </c>
      <c r="E23" s="5" t="s">
        <v>143</v>
      </c>
      <c r="F23" s="5" t="s">
        <v>144</v>
      </c>
      <c r="G23" s="5" t="s">
        <v>145</v>
      </c>
      <c r="H23" s="5" t="s">
        <v>146</v>
      </c>
      <c r="I23" s="5"/>
      <c r="J23" s="6" t="s">
        <v>305</v>
      </c>
    </row>
    <row r="24" spans="1:10" ht="72" customHeight="1" x14ac:dyDescent="0.25">
      <c r="A24" s="15" t="s">
        <v>147</v>
      </c>
      <c r="B24" s="16" t="s">
        <v>129</v>
      </c>
      <c r="C24" s="4" t="s">
        <v>13</v>
      </c>
      <c r="D24" s="7" t="s">
        <v>148</v>
      </c>
      <c r="E24" s="7" t="s">
        <v>149</v>
      </c>
      <c r="F24" s="7" t="s">
        <v>150</v>
      </c>
      <c r="G24" s="7" t="s">
        <v>151</v>
      </c>
      <c r="H24" s="7" t="s">
        <v>152</v>
      </c>
      <c r="I24" s="7"/>
      <c r="J24" s="6" t="s">
        <v>305</v>
      </c>
    </row>
    <row r="25" spans="1:10" ht="72" customHeight="1" x14ac:dyDescent="0.25">
      <c r="A25" s="15" t="s">
        <v>153</v>
      </c>
      <c r="B25" s="16" t="s">
        <v>129</v>
      </c>
      <c r="C25" s="4" t="s">
        <v>13</v>
      </c>
      <c r="D25" s="5" t="s">
        <v>154</v>
      </c>
      <c r="E25" s="5" t="s">
        <v>155</v>
      </c>
      <c r="F25" s="5" t="s">
        <v>156</v>
      </c>
      <c r="G25" s="5" t="s">
        <v>157</v>
      </c>
      <c r="H25" s="5" t="s">
        <v>158</v>
      </c>
      <c r="I25" s="5"/>
      <c r="J25" s="6" t="s">
        <v>305</v>
      </c>
    </row>
    <row r="26" spans="1:10" ht="72" customHeight="1" x14ac:dyDescent="0.25">
      <c r="A26" s="17" t="s">
        <v>159</v>
      </c>
      <c r="B26" s="18" t="s">
        <v>160</v>
      </c>
      <c r="C26" s="4" t="s">
        <v>13</v>
      </c>
      <c r="D26" s="7" t="s">
        <v>161</v>
      </c>
      <c r="E26" s="7" t="s">
        <v>162</v>
      </c>
      <c r="F26" s="7" t="s">
        <v>163</v>
      </c>
      <c r="G26" s="7" t="s">
        <v>164</v>
      </c>
      <c r="H26" s="7" t="s">
        <v>165</v>
      </c>
      <c r="I26" s="7"/>
      <c r="J26" s="6" t="s">
        <v>305</v>
      </c>
    </row>
    <row r="27" spans="1:10" ht="72" customHeight="1" x14ac:dyDescent="0.25">
      <c r="A27" s="17" t="s">
        <v>166</v>
      </c>
      <c r="B27" s="18" t="s">
        <v>160</v>
      </c>
      <c r="C27" s="4" t="s">
        <v>13</v>
      </c>
      <c r="D27" s="5" t="s">
        <v>167</v>
      </c>
      <c r="E27" s="5" t="s">
        <v>168</v>
      </c>
      <c r="F27" s="5" t="s">
        <v>169</v>
      </c>
      <c r="G27" s="5" t="s">
        <v>170</v>
      </c>
      <c r="H27" s="5" t="s">
        <v>171</v>
      </c>
      <c r="I27" s="5"/>
      <c r="J27" s="6" t="s">
        <v>305</v>
      </c>
    </row>
    <row r="28" spans="1:10" ht="72" customHeight="1" x14ac:dyDescent="0.25">
      <c r="A28" s="17" t="s">
        <v>172</v>
      </c>
      <c r="B28" s="18" t="s">
        <v>160</v>
      </c>
      <c r="C28" s="8" t="s">
        <v>33</v>
      </c>
      <c r="D28" s="7" t="s">
        <v>173</v>
      </c>
      <c r="E28" s="7" t="s">
        <v>168</v>
      </c>
      <c r="F28" s="7" t="s">
        <v>174</v>
      </c>
      <c r="G28" s="7" t="s">
        <v>175</v>
      </c>
      <c r="H28" s="7" t="s">
        <v>176</v>
      </c>
      <c r="I28" s="7"/>
      <c r="J28" s="6" t="s">
        <v>305</v>
      </c>
    </row>
    <row r="29" spans="1:10" ht="72" customHeight="1" x14ac:dyDescent="0.25">
      <c r="A29" s="17" t="s">
        <v>177</v>
      </c>
      <c r="B29" s="18" t="s">
        <v>160</v>
      </c>
      <c r="C29" s="4" t="s">
        <v>13</v>
      </c>
      <c r="D29" s="5" t="s">
        <v>178</v>
      </c>
      <c r="E29" s="5" t="s">
        <v>168</v>
      </c>
      <c r="F29" s="5" t="s">
        <v>179</v>
      </c>
      <c r="G29" s="5" t="s">
        <v>180</v>
      </c>
      <c r="H29" s="5" t="s">
        <v>181</v>
      </c>
      <c r="I29" s="5"/>
      <c r="J29" s="6" t="s">
        <v>305</v>
      </c>
    </row>
    <row r="30" spans="1:10" ht="72" customHeight="1" x14ac:dyDescent="0.25">
      <c r="A30" s="17" t="s">
        <v>182</v>
      </c>
      <c r="B30" s="18" t="s">
        <v>160</v>
      </c>
      <c r="C30" s="8" t="s">
        <v>33</v>
      </c>
      <c r="D30" s="7" t="s">
        <v>183</v>
      </c>
      <c r="E30" s="7" t="s">
        <v>168</v>
      </c>
      <c r="F30" s="7" t="s">
        <v>184</v>
      </c>
      <c r="G30" s="7" t="s">
        <v>185</v>
      </c>
      <c r="H30" s="7" t="s">
        <v>186</v>
      </c>
      <c r="I30" s="7"/>
      <c r="J30" s="6" t="s">
        <v>305</v>
      </c>
    </row>
    <row r="31" spans="1:10" ht="72" customHeight="1" x14ac:dyDescent="0.25">
      <c r="A31" s="17" t="s">
        <v>187</v>
      </c>
      <c r="B31" s="18" t="s">
        <v>160</v>
      </c>
      <c r="C31" s="4" t="s">
        <v>13</v>
      </c>
      <c r="D31" s="5" t="s">
        <v>188</v>
      </c>
      <c r="E31" s="5" t="s">
        <v>189</v>
      </c>
      <c r="F31" s="5" t="s">
        <v>190</v>
      </c>
      <c r="G31" s="5" t="s">
        <v>191</v>
      </c>
      <c r="H31" s="5" t="s">
        <v>192</v>
      </c>
      <c r="I31" s="5"/>
      <c r="J31" s="6" t="s">
        <v>305</v>
      </c>
    </row>
    <row r="32" spans="1:10" ht="72" customHeight="1" x14ac:dyDescent="0.25">
      <c r="A32" s="17" t="s">
        <v>193</v>
      </c>
      <c r="B32" s="18" t="s">
        <v>160</v>
      </c>
      <c r="C32" s="4" t="s">
        <v>13</v>
      </c>
      <c r="D32" s="7" t="s">
        <v>194</v>
      </c>
      <c r="E32" s="7" t="s">
        <v>195</v>
      </c>
      <c r="F32" s="7" t="s">
        <v>196</v>
      </c>
      <c r="G32" s="7" t="s">
        <v>197</v>
      </c>
      <c r="H32" s="7" t="s">
        <v>198</v>
      </c>
      <c r="I32" s="7"/>
      <c r="J32" s="6" t="s">
        <v>305</v>
      </c>
    </row>
    <row r="33" spans="1:10" ht="72" customHeight="1" x14ac:dyDescent="0.25">
      <c r="A33" s="19" t="s">
        <v>199</v>
      </c>
      <c r="B33" s="20" t="s">
        <v>200</v>
      </c>
      <c r="C33" s="11" t="s">
        <v>59</v>
      </c>
      <c r="D33" s="5" t="s">
        <v>201</v>
      </c>
      <c r="E33" s="5" t="s">
        <v>202</v>
      </c>
      <c r="F33" s="5" t="s">
        <v>203</v>
      </c>
      <c r="G33" s="5" t="s">
        <v>204</v>
      </c>
      <c r="H33" s="5" t="s">
        <v>205</v>
      </c>
      <c r="I33" s="5"/>
      <c r="J33" s="6" t="s">
        <v>305</v>
      </c>
    </row>
    <row r="34" spans="1:10" ht="72" customHeight="1" x14ac:dyDescent="0.25">
      <c r="A34" s="19" t="s">
        <v>206</v>
      </c>
      <c r="B34" s="20" t="s">
        <v>200</v>
      </c>
      <c r="C34" s="4" t="s">
        <v>13</v>
      </c>
      <c r="D34" s="7" t="s">
        <v>207</v>
      </c>
      <c r="E34" s="7" t="s">
        <v>208</v>
      </c>
      <c r="F34" s="7" t="s">
        <v>209</v>
      </c>
      <c r="G34" s="7" t="s">
        <v>210</v>
      </c>
      <c r="H34" s="7" t="s">
        <v>211</v>
      </c>
      <c r="I34" s="7"/>
      <c r="J34" s="6" t="s">
        <v>305</v>
      </c>
    </row>
    <row r="35" spans="1:10" ht="72" customHeight="1" x14ac:dyDescent="0.25">
      <c r="A35" s="19" t="s">
        <v>212</v>
      </c>
      <c r="B35" s="20" t="s">
        <v>200</v>
      </c>
      <c r="C35" s="11" t="s">
        <v>59</v>
      </c>
      <c r="D35" s="5" t="s">
        <v>213</v>
      </c>
      <c r="E35" s="5" t="s">
        <v>214</v>
      </c>
      <c r="F35" s="5" t="s">
        <v>215</v>
      </c>
      <c r="G35" s="5" t="s">
        <v>216</v>
      </c>
      <c r="H35" s="5" t="s">
        <v>217</v>
      </c>
      <c r="I35" s="5"/>
      <c r="J35" s="6" t="s">
        <v>305</v>
      </c>
    </row>
    <row r="36" spans="1:10" ht="72" customHeight="1" x14ac:dyDescent="0.25">
      <c r="A36" s="21" t="s">
        <v>218</v>
      </c>
      <c r="B36" s="22" t="s">
        <v>219</v>
      </c>
      <c r="C36" s="4" t="s">
        <v>13</v>
      </c>
      <c r="D36" s="7" t="s">
        <v>220</v>
      </c>
      <c r="E36" s="7" t="s">
        <v>221</v>
      </c>
      <c r="F36" s="7" t="s">
        <v>222</v>
      </c>
      <c r="G36" s="7" t="s">
        <v>223</v>
      </c>
      <c r="H36" s="7" t="s">
        <v>224</v>
      </c>
      <c r="I36" s="7"/>
      <c r="J36" s="6" t="s">
        <v>305</v>
      </c>
    </row>
    <row r="37" spans="1:10" ht="72" customHeight="1" x14ac:dyDescent="0.25">
      <c r="A37" s="21" t="s">
        <v>225</v>
      </c>
      <c r="B37" s="22" t="s">
        <v>219</v>
      </c>
      <c r="C37" s="11" t="s">
        <v>59</v>
      </c>
      <c r="D37" s="5" t="s">
        <v>226</v>
      </c>
      <c r="E37" s="5" t="s">
        <v>227</v>
      </c>
      <c r="F37" s="5" t="s">
        <v>228</v>
      </c>
      <c r="G37" s="5" t="s">
        <v>229</v>
      </c>
      <c r="H37" s="5" t="s">
        <v>230</v>
      </c>
      <c r="I37" s="5"/>
      <c r="J37" s="6" t="s">
        <v>305</v>
      </c>
    </row>
    <row r="38" spans="1:10" ht="72" customHeight="1" x14ac:dyDescent="0.25">
      <c r="A38" s="21" t="s">
        <v>231</v>
      </c>
      <c r="B38" s="22" t="s">
        <v>219</v>
      </c>
      <c r="C38" s="4" t="s">
        <v>13</v>
      </c>
      <c r="D38" s="7" t="s">
        <v>232</v>
      </c>
      <c r="E38" s="7" t="s">
        <v>233</v>
      </c>
      <c r="F38" s="7" t="s">
        <v>234</v>
      </c>
      <c r="G38" s="7" t="s">
        <v>235</v>
      </c>
      <c r="H38" s="7" t="s">
        <v>236</v>
      </c>
      <c r="I38" s="7"/>
      <c r="J38" s="6" t="s">
        <v>305</v>
      </c>
    </row>
    <row r="39" spans="1:10" ht="72" customHeight="1" x14ac:dyDescent="0.25">
      <c r="A39" s="23" t="s">
        <v>237</v>
      </c>
      <c r="B39" s="24" t="s">
        <v>238</v>
      </c>
      <c r="C39" s="8" t="s">
        <v>33</v>
      </c>
      <c r="D39" s="5" t="s">
        <v>239</v>
      </c>
      <c r="E39" s="5" t="s">
        <v>240</v>
      </c>
      <c r="F39" s="5" t="s">
        <v>241</v>
      </c>
      <c r="G39" s="5" t="s">
        <v>242</v>
      </c>
      <c r="H39" s="5" t="s">
        <v>243</v>
      </c>
      <c r="I39" s="5"/>
      <c r="J39" s="6" t="s">
        <v>305</v>
      </c>
    </row>
    <row r="40" spans="1:10" ht="72" customHeight="1" x14ac:dyDescent="0.25">
      <c r="A40" s="23" t="s">
        <v>244</v>
      </c>
      <c r="B40" s="24" t="s">
        <v>238</v>
      </c>
      <c r="C40" s="8" t="s">
        <v>33</v>
      </c>
      <c r="D40" s="7" t="s">
        <v>245</v>
      </c>
      <c r="E40" s="7" t="s">
        <v>246</v>
      </c>
      <c r="F40" s="7" t="s">
        <v>247</v>
      </c>
      <c r="G40" s="7" t="s">
        <v>248</v>
      </c>
      <c r="H40" s="7" t="s">
        <v>249</v>
      </c>
      <c r="I40" s="7"/>
      <c r="J40" s="6" t="s">
        <v>305</v>
      </c>
    </row>
    <row r="41" spans="1:10" ht="72" customHeight="1" x14ac:dyDescent="0.25">
      <c r="A41" s="23" t="s">
        <v>250</v>
      </c>
      <c r="B41" s="24" t="s">
        <v>238</v>
      </c>
      <c r="C41" s="9" t="s">
        <v>251</v>
      </c>
      <c r="D41" s="5" t="s">
        <v>252</v>
      </c>
      <c r="E41" s="5" t="s">
        <v>253</v>
      </c>
      <c r="F41" s="5" t="s">
        <v>254</v>
      </c>
      <c r="G41" s="5" t="s">
        <v>210</v>
      </c>
      <c r="H41" s="5" t="s">
        <v>255</v>
      </c>
      <c r="I41" s="5"/>
      <c r="J41" s="6" t="s">
        <v>305</v>
      </c>
    </row>
  </sheetData>
  <mergeCells count="1">
    <mergeCell ref="A1:J1"/>
  </mergeCells>
  <dataValidations count="1">
    <dataValidation type="list" allowBlank="1" sqref="J3:J200" xr:uid="{00000000-0002-0000-0000-000000000000}">
      <formula1>"Pass,Fail,Pending,Blocked,N/A"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5" x14ac:dyDescent="0.25"/>
  <cols>
    <col min="1" max="1" width="18" customWidth="1"/>
    <col min="2" max="5" width="10" customWidth="1"/>
    <col min="6" max="6" width="12" customWidth="1"/>
  </cols>
  <sheetData>
    <row r="1" spans="1:6" ht="27.95" customHeight="1" x14ac:dyDescent="0.25">
      <c r="A1" s="52" t="s">
        <v>256</v>
      </c>
      <c r="B1" s="51"/>
      <c r="C1" s="51"/>
      <c r="D1" s="51"/>
      <c r="E1" s="51"/>
      <c r="F1" s="51"/>
    </row>
    <row r="2" spans="1:6" ht="18" customHeight="1" x14ac:dyDescent="0.25">
      <c r="A2" s="1" t="s">
        <v>2</v>
      </c>
      <c r="B2" s="1" t="s">
        <v>257</v>
      </c>
      <c r="C2" s="1" t="s">
        <v>258</v>
      </c>
      <c r="D2" s="1" t="s">
        <v>259</v>
      </c>
      <c r="E2" s="1" t="s">
        <v>19</v>
      </c>
      <c r="F2" s="1" t="s">
        <v>260</v>
      </c>
    </row>
    <row r="3" spans="1:6" ht="18" customHeight="1" x14ac:dyDescent="0.25">
      <c r="A3" s="25" t="s">
        <v>12</v>
      </c>
      <c r="B3" s="26">
        <v>5</v>
      </c>
      <c r="C3" s="27"/>
      <c r="D3" s="28"/>
      <c r="E3" s="29"/>
      <c r="F3" s="30">
        <f t="shared" ref="F3:F13" si="0">IF(B3=0,0,C3/B3)</f>
        <v>0</v>
      </c>
    </row>
    <row r="4" spans="1:6" ht="18" customHeight="1" x14ac:dyDescent="0.25">
      <c r="A4" s="31" t="s">
        <v>46</v>
      </c>
      <c r="B4" s="32">
        <v>4</v>
      </c>
      <c r="C4" s="27"/>
      <c r="D4" s="28"/>
      <c r="E4" s="29"/>
      <c r="F4" s="33">
        <f t="shared" si="0"/>
        <v>0</v>
      </c>
    </row>
    <row r="5" spans="1:6" ht="18" customHeight="1" x14ac:dyDescent="0.25">
      <c r="A5" s="34" t="s">
        <v>72</v>
      </c>
      <c r="B5" s="26">
        <v>3</v>
      </c>
      <c r="C5" s="27"/>
      <c r="D5" s="28"/>
      <c r="E5" s="29"/>
      <c r="F5" s="30">
        <f t="shared" si="0"/>
        <v>0</v>
      </c>
    </row>
    <row r="6" spans="1:6" ht="18" customHeight="1" x14ac:dyDescent="0.25">
      <c r="A6" s="35" t="s">
        <v>91</v>
      </c>
      <c r="B6" s="32">
        <v>3</v>
      </c>
      <c r="C6" s="27"/>
      <c r="D6" s="28"/>
      <c r="E6" s="29"/>
      <c r="F6" s="33">
        <f t="shared" si="0"/>
        <v>0</v>
      </c>
    </row>
    <row r="7" spans="1:6" ht="18" customHeight="1" x14ac:dyDescent="0.25">
      <c r="A7" s="36" t="s">
        <v>110</v>
      </c>
      <c r="B7" s="26">
        <v>3</v>
      </c>
      <c r="C7" s="27"/>
      <c r="D7" s="28"/>
      <c r="E7" s="29"/>
      <c r="F7" s="30">
        <f t="shared" si="0"/>
        <v>0</v>
      </c>
    </row>
    <row r="8" spans="1:6" ht="18" customHeight="1" x14ac:dyDescent="0.25">
      <c r="A8" s="37" t="s">
        <v>129</v>
      </c>
      <c r="B8" s="32">
        <v>5</v>
      </c>
      <c r="C8" s="27"/>
      <c r="D8" s="28"/>
      <c r="E8" s="29"/>
      <c r="F8" s="33">
        <f t="shared" si="0"/>
        <v>0</v>
      </c>
    </row>
    <row r="9" spans="1:6" ht="18" customHeight="1" x14ac:dyDescent="0.25">
      <c r="A9" s="38" t="s">
        <v>160</v>
      </c>
      <c r="B9" s="26">
        <v>7</v>
      </c>
      <c r="C9" s="27"/>
      <c r="D9" s="28"/>
      <c r="E9" s="29"/>
      <c r="F9" s="30">
        <f t="shared" si="0"/>
        <v>0</v>
      </c>
    </row>
    <row r="10" spans="1:6" ht="18" customHeight="1" x14ac:dyDescent="0.25">
      <c r="A10" s="39" t="s">
        <v>200</v>
      </c>
      <c r="B10" s="32">
        <v>3</v>
      </c>
      <c r="C10" s="27"/>
      <c r="D10" s="28"/>
      <c r="E10" s="29"/>
      <c r="F10" s="33">
        <f t="shared" si="0"/>
        <v>0</v>
      </c>
    </row>
    <row r="11" spans="1:6" ht="18" customHeight="1" x14ac:dyDescent="0.25">
      <c r="A11" s="40" t="s">
        <v>219</v>
      </c>
      <c r="B11" s="26">
        <v>3</v>
      </c>
      <c r="C11" s="27"/>
      <c r="D11" s="28"/>
      <c r="E11" s="29"/>
      <c r="F11" s="30">
        <f t="shared" si="0"/>
        <v>0</v>
      </c>
    </row>
    <row r="12" spans="1:6" ht="18" customHeight="1" x14ac:dyDescent="0.25">
      <c r="A12" s="41" t="s">
        <v>238</v>
      </c>
      <c r="B12" s="32">
        <v>3</v>
      </c>
      <c r="C12" s="27"/>
      <c r="D12" s="28"/>
      <c r="E12" s="29"/>
      <c r="F12" s="33">
        <f t="shared" si="0"/>
        <v>0</v>
      </c>
    </row>
    <row r="13" spans="1:6" ht="20.100000000000001" customHeight="1" x14ac:dyDescent="0.25">
      <c r="A13" s="42" t="s">
        <v>261</v>
      </c>
      <c r="B13" s="42">
        <f>SUM(B3:B12)</f>
        <v>39</v>
      </c>
      <c r="C13" s="42">
        <f>SUM(C3:C12)</f>
        <v>0</v>
      </c>
      <c r="D13" s="42">
        <f>SUM(D3:D12)</f>
        <v>0</v>
      </c>
      <c r="E13" s="42">
        <f>SUM(E3:E12)</f>
        <v>0</v>
      </c>
      <c r="F13" s="43">
        <f t="shared" si="0"/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cols>
    <col min="1" max="1" width="22" customWidth="1"/>
    <col min="2" max="2" width="12" customWidth="1"/>
    <col min="3" max="3" width="38" customWidth="1"/>
    <col min="4" max="4" width="16" customWidth="1"/>
    <col min="5" max="5" width="30" customWidth="1"/>
  </cols>
  <sheetData>
    <row r="1" spans="1:5" ht="27.95" customHeight="1" x14ac:dyDescent="0.25">
      <c r="A1" s="52" t="s">
        <v>262</v>
      </c>
      <c r="B1" s="51"/>
      <c r="C1" s="51"/>
      <c r="D1" s="51"/>
      <c r="E1" s="51"/>
    </row>
    <row r="2" spans="1:5" ht="18" customHeight="1" x14ac:dyDescent="0.25">
      <c r="A2" s="1" t="s">
        <v>263</v>
      </c>
      <c r="B2" s="1" t="s">
        <v>264</v>
      </c>
      <c r="C2" s="1" t="s">
        <v>265</v>
      </c>
      <c r="D2" s="1" t="s">
        <v>3</v>
      </c>
      <c r="E2" s="1" t="s">
        <v>266</v>
      </c>
    </row>
    <row r="3" spans="1:5" ht="36" customHeight="1" x14ac:dyDescent="0.25">
      <c r="A3" s="44" t="s">
        <v>267</v>
      </c>
      <c r="B3" s="45" t="s">
        <v>268</v>
      </c>
      <c r="C3" s="5" t="s">
        <v>269</v>
      </c>
      <c r="D3" s="45" t="s">
        <v>270</v>
      </c>
      <c r="E3" s="5" t="s">
        <v>271</v>
      </c>
    </row>
    <row r="4" spans="1:5" ht="36" customHeight="1" x14ac:dyDescent="0.25">
      <c r="A4" s="46" t="s">
        <v>272</v>
      </c>
      <c r="B4" s="47" t="s">
        <v>273</v>
      </c>
      <c r="C4" s="7" t="s">
        <v>274</v>
      </c>
      <c r="D4" s="47" t="s">
        <v>13</v>
      </c>
      <c r="E4" s="7" t="s">
        <v>275</v>
      </c>
    </row>
    <row r="5" spans="1:5" ht="36" customHeight="1" x14ac:dyDescent="0.25">
      <c r="A5" s="48" t="s">
        <v>276</v>
      </c>
      <c r="B5" s="48" t="s">
        <v>277</v>
      </c>
      <c r="C5" s="49" t="s">
        <v>278</v>
      </c>
      <c r="D5" s="48" t="s">
        <v>279</v>
      </c>
      <c r="E5" s="49" t="s">
        <v>279</v>
      </c>
    </row>
    <row r="6" spans="1:5" ht="36" customHeight="1" x14ac:dyDescent="0.25">
      <c r="A6" s="46" t="s">
        <v>280</v>
      </c>
      <c r="B6" s="47" t="s">
        <v>281</v>
      </c>
      <c r="C6" s="7" t="s">
        <v>282</v>
      </c>
      <c r="D6" s="47" t="s">
        <v>13</v>
      </c>
      <c r="E6" s="7" t="s">
        <v>283</v>
      </c>
    </row>
    <row r="7" spans="1:5" ht="36" customHeight="1" x14ac:dyDescent="0.25">
      <c r="A7" s="44" t="s">
        <v>284</v>
      </c>
      <c r="B7" s="45" t="s">
        <v>285</v>
      </c>
      <c r="C7" s="5" t="s">
        <v>286</v>
      </c>
      <c r="D7" s="45" t="s">
        <v>287</v>
      </c>
      <c r="E7" s="5" t="s">
        <v>288</v>
      </c>
    </row>
    <row r="8" spans="1:5" ht="36" customHeight="1" x14ac:dyDescent="0.25">
      <c r="A8" s="46" t="s">
        <v>289</v>
      </c>
      <c r="B8" s="47" t="s">
        <v>290</v>
      </c>
      <c r="C8" s="7" t="s">
        <v>291</v>
      </c>
      <c r="D8" s="47" t="s">
        <v>33</v>
      </c>
      <c r="E8" s="7" t="s">
        <v>279</v>
      </c>
    </row>
    <row r="9" spans="1:5" ht="36" customHeight="1" x14ac:dyDescent="0.25">
      <c r="A9" s="44" t="s">
        <v>292</v>
      </c>
      <c r="B9" s="45" t="s">
        <v>293</v>
      </c>
      <c r="C9" s="5" t="s">
        <v>294</v>
      </c>
      <c r="D9" s="45" t="s">
        <v>33</v>
      </c>
      <c r="E9" s="5" t="s">
        <v>279</v>
      </c>
    </row>
    <row r="10" spans="1:5" ht="36" customHeight="1" x14ac:dyDescent="0.25">
      <c r="A10" s="46" t="s">
        <v>295</v>
      </c>
      <c r="B10" s="47" t="s">
        <v>296</v>
      </c>
      <c r="C10" s="7" t="s">
        <v>297</v>
      </c>
      <c r="D10" s="47" t="s">
        <v>251</v>
      </c>
      <c r="E10" s="7" t="s">
        <v>298</v>
      </c>
    </row>
    <row r="11" spans="1:5" ht="36" customHeight="1" x14ac:dyDescent="0.25">
      <c r="A11" s="44" t="s">
        <v>299</v>
      </c>
      <c r="B11" s="45" t="s">
        <v>300</v>
      </c>
      <c r="C11" s="5" t="s">
        <v>301</v>
      </c>
      <c r="D11" s="45" t="s">
        <v>302</v>
      </c>
      <c r="E11" s="5" t="s">
        <v>303</v>
      </c>
    </row>
    <row r="13" spans="1:5" ht="30" customHeight="1" x14ac:dyDescent="0.25">
      <c r="A13" s="53" t="s">
        <v>304</v>
      </c>
      <c r="B13" s="51"/>
      <c r="C13" s="51"/>
      <c r="D13" s="51"/>
      <c r="E13" s="51"/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ECU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2026-06-03T05:19:28Z</dcterms:created>
  <dcterms:modified xsi:type="dcterms:W3CDTF">2026-06-04T04:19:05Z</dcterms:modified>
</cp:coreProperties>
</file>